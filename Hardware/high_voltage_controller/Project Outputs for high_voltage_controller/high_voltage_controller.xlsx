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codeName="ThisWorkbook"/>
  <bookViews>
    <workbookView xWindow="11895" yWindow="615" windowWidth="18825" windowHeight="17385"/>
  </bookViews>
  <sheets>
    <sheet name="Sheet1" sheetId="1" r:id="rId1"/>
    <sheet name="Sheet2" sheetId="2" r:id="rId2"/>
    <sheet name="Sheet3" sheetId="3" r:id="rId3"/>
  </sheets>
  <calcPr fullPrecision="1" calcMode="auto" calcId="162913"/>
</workbook>
</file>

<file path=xl/sharedStrings.xml><?xml version="1.0" encoding="utf-8"?>
<sst xmlns="http://schemas.openxmlformats.org/spreadsheetml/2006/main" uniqueCount="141">
  <si>
    <t>Bill of Materials</t>
  </si>
  <si>
    <t>Project Title:</t>
  </si>
  <si>
    <t>Project File Name:</t>
  </si>
  <si>
    <t>2175 Salk Avenue</t>
  </si>
  <si>
    <t>Suite 200</t>
  </si>
  <si>
    <t>Carlsbad, CA 92008</t>
  </si>
  <si>
    <t>USA</t>
  </si>
  <si>
    <t>C1, C20, C22</t>
  </si>
  <si>
    <t>Surface Mount Ceramic Multilayer Capacitor 4.7uF 10% X5R 6.3V 0805 Blister T/R</t>
  </si>
  <si>
    <t>Supplier 1</t>
  </si>
  <si>
    <t>Supplier Part Number 1</t>
  </si>
  <si>
    <t>Supplier Unit Price 1</t>
  </si>
  <si>
    <t>Manufacturer 1</t>
  </si>
  <si>
    <t>Manufacturer Part Number 1</t>
  </si>
  <si>
    <t>Approved</t>
  </si>
  <si>
    <t>Notes</t>
  </si>
  <si>
    <t xml:space="preserve">Assembly Variant: </t>
  </si>
  <si>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</si>
  <si>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</si>
  <si>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</si>
  <si>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</si>
  <si>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</si>
  <si>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</si>
  <si>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</si>
  <si>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</si>
  <si>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</si>
  <si>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Bill of Materials for Project [high_voltage_controller.PrjPcb] (No PCB Document Selected)</t>
  </si>
  <si>
    <t>high_voltage_controller.PrjPcb</t>
  </si>
  <si>
    <t>None</t>
  </si>
  <si>
    <t>DesignItemId</t>
  </si>
  <si>
    <t>CC0805KKX5R5BB475</t>
  </si>
  <si>
    <t>CC0603MRX5R5BB105, CC0603KRX7R7BB105</t>
  </si>
  <si>
    <t>CC0603KRX7R9BB104</t>
  </si>
  <si>
    <t>CC0603MRX7R9BB103</t>
  </si>
  <si>
    <t>CC0805KKX5R5BB105</t>
  </si>
  <si>
    <t>C0805C472KDRACAUTO</t>
  </si>
  <si>
    <t>CC0603MRX5R7BB106</t>
  </si>
  <si>
    <t>SP0504BAHTG</t>
  </si>
  <si>
    <t>BLM21PG221SN1D</t>
  </si>
  <si>
    <t>FTSH-105-01-L-DV-K</t>
  </si>
  <si>
    <t>618015231121</t>
  </si>
  <si>
    <t>USB4105-GF-A</t>
  </si>
  <si>
    <t>RFM-0505S</t>
  </si>
  <si>
    <t>2N7002K</t>
  </si>
  <si>
    <t>RC0805FR-0722RL</t>
  </si>
  <si>
    <t>RC0805FR-0710KL</t>
  </si>
  <si>
    <t>RC0805FR-07100KL</t>
  </si>
  <si>
    <t>RC0805FR-07300KL</t>
  </si>
  <si>
    <t>RC0603FR-071ML, RC0805FR-071ML</t>
  </si>
  <si>
    <t>RC0805FR-075K1L</t>
  </si>
  <si>
    <t>RC0805FR-0722K1L</t>
  </si>
  <si>
    <t>RC0805FR-0747K5L</t>
  </si>
  <si>
    <t>RC0805FR-071KL</t>
  </si>
  <si>
    <t>STM32G431C6T6</t>
  </si>
  <si>
    <t>TLV9002QDRQ1</t>
  </si>
  <si>
    <t>TLV75533PDBVR</t>
  </si>
  <si>
    <t>ISO7721FDWR</t>
  </si>
  <si>
    <t>CP2102N-A02-GQFN24R</t>
  </si>
  <si>
    <t>6.3V 1uF X5R ±20% 0603 Multilayer Ceramic Capacitors MLCC - SMD/SMT ROHS, 16V 1uF X7R ±10% 0603 Multilayer Ceramic Capacitors MLCC - SMD/SMT ROHS</t>
  </si>
  <si>
    <t>Multilayer Ceramic Capacitor, CC Series, 0.1 - F, - 10%, X7R, 50 V, 0603 [1608 Metric]</t>
  </si>
  <si>
    <t>50V 10nF X7R ±20% 0603 Multilayer Ceramic Capacitors MLCC - SMD/SMT ROHS</t>
  </si>
  <si>
    <t>6.3V 1uF X5R ±10% 0805 Multilayer Ceramic Capacitors MLCC - SMD/SMT ROHS</t>
  </si>
  <si>
    <t>Cap Ceramic 0.0047uF 1000V X7R 10% Pad SMD 0805 125C Automotive AEC-Q200 Medical T/R</t>
  </si>
  <si>
    <t>Multilayer Ceramic Capacitors MLCC – SMD/SMT; YAGEO; CC0603MRX5R7BB106; 10 µF; 0603; 16 V; 16 V</t>
  </si>
  <si>
    <t>SP050xBA Series 8 V 30 pF Uni-Directional SMT TVS Avalanche Diode Array SOT-23-5</t>
  </si>
  <si>
    <t>Ferrite Beads Multi-Layer 220Ohm 25% 100MHz 2A 45mOhm DCR 0805 Paper T/R</t>
  </si>
  <si>
    <t>CONN HEADER SMD 10POS 1.27MM / Connector Header Surface Mount 10 position 0.050" (1.27mm)</t>
  </si>
  <si>
    <t>15 Way Right Angle Through Hole Pcb D-sub Connector Socket, 2.77MM, 2.84MM Pitch</t>
  </si>
  <si>
    <t>USB Connector, 24 Contact(s), Female, Right Angle, Solder Terminal, Locking, Receptacle</t>
  </si>
  <si>
    <t>DC DC CONVERTER 5V 1W / Isolated Module DC DC Converter 1 Output 5V 200mA - 5V Input</t>
  </si>
  <si>
    <t>Mosfet N-ch 60V 300MA SOT23 / Trans Mosfet N-ch 60V 0.3A 3-PIN SOT-23 T/r</t>
  </si>
  <si>
    <t>125mW Thick Film Resistors 150V ±100ppm/℃ ±1% 22Ω 0805 Chip Resistor - Surface Mount ROHS</t>
  </si>
  <si>
    <t>Res General Purpose Thick Film 0805 10k Ohm 1% 1/8W ±100ppm/°C Ceramic Paper T/R</t>
  </si>
  <si>
    <t>125Mw Thick Film Resistors 100Ppm/ 1% 100K 0805 Chip Resistor Surface Mount Rohs</t>
  </si>
  <si>
    <t>Res Thick Film 0805 300K Ohm 1% 0.125W(1/8W) ±100ppm/C Pad SMD T/R</t>
  </si>
  <si>
    <t>Res Thick Film 0603 1M Ohm 1% 0.1W(1/10W) ±100ppm/°C Pad SMD T/R / RES SMD 1M OHM 1% 1/10W 0603, 125mW Thick Film Resistors 150V ±100ppm/℃ ±1% 1MΩ 0805 Chip Resistor - Surface Mount ROHS</t>
  </si>
  <si>
    <t>125Mw Thick Film Resistors 100Ppm/ 1% 5.1K 0805 Chip Resistor Surface Mount Rohs</t>
  </si>
  <si>
    <t>Res Thick Film 0805 22.1K Ohm 1% 0.125W(1/8W) ±100ppm/C Pad SMD T/R</t>
  </si>
  <si>
    <t>47.5 kOhms ±1% 0.125W, 1/8W Chip Resistor 0805 (2012 Metric) Moisture Resistant Thick Film</t>
  </si>
  <si>
    <t>Resistor, thick film, SMD 0805 (2012), 1 kΩ, 0.125 W, ±1 %, RC0805FR-071KL</t>
  </si>
  <si>
    <t>Microcontroller 32-Bit ARM Cortex-M4 RISC 32K-Byte Flash 3.3V 48-Pin LQFP</t>
  </si>
  <si>
    <t>IC OPAMP GP 2 CIRCUIT 8SOIC / General Purpose Amplifier 2 Circuit Rail-to-Rail 8-SOIC</t>
  </si>
  <si>
    <t>500mA high-PSRR low-IQ low-dropout voltage regulator with enable 5-SOT-23 -40 to 125</t>
  </si>
  <si>
    <t>Robust EMC, dual-channel, 1/1, reinforced digital isolator 16-SOIC -55 to 125</t>
  </si>
  <si>
    <t>IC Usb to Uart Bridge QFN24 / Usb Bridge, Usb to Uart Usb 2.0 Uart Interface 24-QFN (4X4)</t>
  </si>
  <si>
    <t>C2, C10, C12, C15, C17</t>
  </si>
  <si>
    <t>C3, C4, C5, C8, C9, C18, C19, C21, C23, C24</t>
  </si>
  <si>
    <t>C6</t>
  </si>
  <si>
    <t>C7</t>
  </si>
  <si>
    <t>C11, C26</t>
  </si>
  <si>
    <t>C13, C14, C16, C25</t>
  </si>
  <si>
    <t>D1</t>
  </si>
  <si>
    <t>FB1</t>
  </si>
  <si>
    <t>J1</t>
  </si>
  <si>
    <t>J2</t>
  </si>
  <si>
    <t>J3</t>
  </si>
  <si>
    <t>PS1</t>
  </si>
  <si>
    <t>Q1, Q2, Q3</t>
  </si>
  <si>
    <t>R1</t>
  </si>
  <si>
    <t>R2, R7, R8, R10, R11</t>
  </si>
  <si>
    <t>R3, R6</t>
  </si>
  <si>
    <t>R4, R5</t>
  </si>
  <si>
    <t>R9, R17</t>
  </si>
  <si>
    <t>R12, R14</t>
  </si>
  <si>
    <t>R13</t>
  </si>
  <si>
    <t>R15</t>
  </si>
  <si>
    <t>R16</t>
  </si>
  <si>
    <t>U1</t>
  </si>
  <si>
    <t>U2</t>
  </si>
  <si>
    <t>U3</t>
  </si>
  <si>
    <t>U4</t>
  </si>
  <si>
    <t>U5</t>
  </si>
  <si>
    <t>DigiKey</t>
  </si>
  <si>
    <t>Future Electronics</t>
  </si>
  <si>
    <t>311-1861-1-ND</t>
  </si>
  <si>
    <t>311-1813-1-ND, 311-1446-1-ND</t>
  </si>
  <si>
    <t>311-1344-1-ND</t>
  </si>
  <si>
    <t>311-1826-1-ND</t>
  </si>
  <si>
    <t>311-3417-1-ND</t>
  </si>
  <si>
    <t>399-16659-1-ND</t>
  </si>
  <si>
    <t>311-1822-1-ND</t>
  </si>
  <si>
    <t>F3157CT-ND</t>
  </si>
  <si>
    <t>490-1054-1-ND</t>
  </si>
  <si>
    <t>SAM8799-ND</t>
  </si>
  <si>
    <t>732-618015231121-ND</t>
  </si>
  <si>
    <t>2073-USB4105-GF-ACT-ND</t>
  </si>
  <si>
    <t>2N7002KCT-ND</t>
  </si>
  <si>
    <t>311-22.0CRCT-ND</t>
  </si>
  <si>
    <t>311-10.0KCRCT-ND</t>
  </si>
  <si>
    <t>311-100KCRCT-ND</t>
  </si>
  <si>
    <t>311-300KCRCT-ND</t>
  </si>
  <si>
    <t>311-1.00MHRCT-ND, 311-1.00MCRCT-ND</t>
  </si>
  <si>
    <t>311-5.10KCRCT-ND</t>
  </si>
  <si>
    <t>311-22.1KCRCT-ND</t>
  </si>
  <si>
    <t>311-47.5KCRCT-ND</t>
  </si>
  <si>
    <t>311-1.00KCRCT-ND</t>
  </si>
  <si>
    <t>STM32G431C6T6-ND</t>
  </si>
  <si>
    <t>296-TLV9002QDRQ1CT-ND</t>
  </si>
  <si>
    <t>296-50411-6-ND</t>
  </si>
  <si>
    <t>296-50346-1-ND</t>
  </si>
  <si>
    <t>336-5888-1-ND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</si>
</sst>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8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xxid="0" numFmtId="0" fontId="0" fillId="0" borderId="0"/>
    <xf xxid="1" numFmtId="0" fontId="1" fillId="0" borderId="0"/>
    <xf xxid="39" numFmtId="0" fontId="7" fillId="3" borderId="0" applyAlignment="0"/>
  </cellStyleXfs>
  <cellXfs>
    <xf xxid="2" numFmtId="0" fontId="0" fillId="0" borderId="0" xfId="0" applyAlignment="1" applyBorder="1" applyFont="1" applyNumberFormat="1" applyFill="1" applyProtection="1"/>
    <xf xxid="3" numFmtId="0" fontId="3" fillId="0" borderId="1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2" borderId="2" xfId="0" applyAlignment="1" applyBorder="1" applyFont="1" applyNumberFormat="1" applyFill="1" applyProtection="1"/>
    <xf xxid="6" numFmtId="0" fontId="3" fillId="0" borderId="3" xfId="0" applyAlignment="1" applyBorder="1" applyFont="1" applyNumberFormat="1" applyFill="1" applyProtection="1"/>
    <xf xxid="7" numFmtId="0" fontId="0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0" fillId="0" borderId="5" xfId="0" applyAlignment="1" applyBorder="1" applyFont="1" applyNumberFormat="1" applyFill="1" applyProtection="1"/>
    <xf xxid="10" numFmtId="0" fontId="0" fillId="2" borderId="6" xfId="0" applyAlignment="1" applyBorder="1" applyFont="1" applyNumberFormat="1" applyFill="1" applyProtection="1"/>
    <xf xxid="11" numFmtId="0" fontId="0" fillId="0" borderId="7" xfId="0" applyAlignment="1" applyBorder="1" applyFont="1" applyNumberFormat="1" applyFill="1" applyProtection="1"/>
    <xf xxid="12" numFmtId="0" fontId="0" fillId="0" borderId="8" xfId="0" applyAlignment="1" applyBorder="1" applyFont="1" applyNumberFormat="1" applyFill="1" applyProtection="1"/>
    <xf xxid="13" numFmtId="0" fontId="5" fillId="2" borderId="2" xfId="0" applyAlignment="1" applyBorder="1" applyFont="1" applyNumberFormat="1" applyFill="1" applyProtection="1"/>
    <xf xxid="14" numFmtId="0" fontId="5" fillId="2" borderId="9" xfId="0" applyAlignment="1" applyBorder="1" applyFont="1" applyNumberFormat="1" applyFill="1" applyProtection="1"/>
    <xf xxid="15" numFmtId="0" fontId="5" fillId="0" borderId="9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164" fontId="5" fillId="0" borderId="2" xfId="0" applyAlignment="1" applyBorder="1" applyFont="1" applyNumberFormat="1" applyFill="1" applyProtection="1"/>
    <xf xxid="18" numFmtId="164" fontId="5" fillId="0" borderId="8" xfId="0" applyAlignment="1" applyBorder="1" applyFont="1" applyNumberFormat="1" applyFill="1" applyProtection="1"/>
    <xf xxid="19" numFmtId="0" fontId="0" fillId="0" borderId="10" xfId="0" applyAlignment="1" applyBorder="1" applyFont="1" applyNumberFormat="1" applyFill="1" applyProtection="1"/>
    <xf xxid="20" numFmtId="0" fontId="0" fillId="0" borderId="11" xfId="0" applyAlignment="1" applyBorder="1" applyFont="1" applyNumberFormat="1" applyFill="1" applyProtection="1"/>
    <xf xxid="21" numFmtId="0" fontId="0" fillId="0" borderId="12" xfId="0" applyAlignment="1" applyBorder="1" applyFont="1" applyNumberFormat="1" applyFill="1" applyProtection="1"/>
    <xf xxid="22" numFmtId="0" fontId="0" fillId="0" borderId="2" xfId="0" applyAlignment="1" applyBorder="1" applyFont="1" applyNumberFormat="1" applyFill="1" applyProtection="1">
      <alignment wrapText="1"/>
    </xf>
    <xf xxid="23" numFmtId="0" fontId="5" fillId="0" borderId="2" xfId="0" applyAlignment="1" applyBorder="1" applyFont="1" applyNumberFormat="1" applyFill="1" applyProtection="1">
      <alignment wrapText="1"/>
    </xf>
    <xf xxid="24" numFmtId="0" fontId="2" fillId="0" borderId="4" xfId="1" applyAlignment="1" applyBorder="1" applyFont="1" applyNumberFormat="1" applyFill="1" applyProtection="1">
      <alignment vertical="center"/>
    </xf>
    <xf xxid="25" numFmtId="0" fontId="3" fillId="0" borderId="0" xfId="0" applyAlignment="1" applyBorder="1" applyFont="1" applyNumberFormat="1" applyFill="1" applyProtection="1">
      <alignment horizontal="right"/>
    </xf>
    <xf xxid="26" numFmtId="0" fontId="0" fillId="2" borderId="13" xfId="0" applyAlignment="1" applyBorder="1" applyFont="1" applyNumberFormat="1" applyFill="1" applyProtection="1"/>
    <xf xxid="27" numFmtId="0" fontId="0" fillId="0" borderId="13" xfId="0" applyAlignment="1" applyBorder="1" applyFont="1" applyNumberFormat="1" applyFill="1" applyProtection="1">
      <alignment wrapText="1"/>
    </xf>
    <xf xxid="28" numFmtId="0" fontId="0" fillId="0" borderId="14" xfId="0" applyAlignment="1" applyBorder="1" applyFont="1" applyNumberFormat="1" applyFill="1" applyProtection="1"/>
    <xf xxid="29" numFmtId="0" fontId="0" fillId="0" borderId="6" xfId="0" applyAlignment="1" applyBorder="1" applyFont="1" applyNumberFormat="1" applyFill="1" applyProtection="1"/>
    <xf xxid="30" numFmtId="0" fontId="0" fillId="0" borderId="15" xfId="0" applyAlignment="1" applyBorder="1" applyFont="1" applyNumberFormat="1" applyFill="1" applyProtection="1"/>
    <xf xxid="31" numFmtId="0" fontId="0" fillId="2" borderId="6" xfId="0" applyAlignment="1" applyBorder="1" applyFont="1" applyNumberFormat="1" applyFill="1" applyProtection="1">
      <alignment horizontal="center"/>
    </xf>
    <xf xxid="32" numFmtId="0" fontId="0" fillId="2" borderId="13" xfId="0" applyAlignment="1" applyBorder="1" applyFont="1" applyNumberFormat="1" applyFill="1" applyProtection="1">
      <alignment horizontal="center"/>
    </xf>
    <xf xxid="33" numFmtId="0" fontId="0" fillId="2" borderId="2" xfId="0" applyAlignment="1" applyBorder="1" applyFont="1" applyNumberFormat="1" applyFill="1" applyProtection="1">
      <alignment horizontal="center"/>
    </xf>
    <xf xxid="34" numFmtId="0" fontId="5" fillId="2" borderId="2" xfId="0" applyAlignment="1" applyBorder="1" applyFont="1" applyNumberFormat="1" applyFill="1" applyProtection="1">
      <alignment horizontal="center"/>
    </xf>
    <xf xxid="35" numFmtId="0" fontId="5" fillId="2" borderId="9" xfId="0" applyAlignment="1" applyBorder="1" applyFont="1" applyNumberFormat="1" applyFill="1" applyProtection="1">
      <alignment horizontal="center"/>
    </xf>
    <xf xxid="36" numFmtId="0" fontId="0" fillId="0" borderId="0" xfId="0"/>
    <xf xxid="37" numFmtId="0" fontId="3" fillId="0" borderId="3" xfId="0" applyAlignment="1" applyBorder="1" applyFont="1" applyNumberFormat="1" applyFill="1" applyProtection="1" quotePrefix="1"/>
    <xf xxid="38" numFmtId="0" fontId="3" fillId="0" borderId="1" xfId="0" applyAlignment="1" applyBorder="1" applyFont="1" applyNumberFormat="1" applyFill="1" applyProtection="1" quotePrefix="1"/>
  </cellXfs>
  <cellStyles count="3">
    <cellStyle name="Normal 2" xfId="1"/>
    <cellStyle name="Normal" xfId="0" builtinId="0"/>
    <cellStyle name="Hyperlink" xfId="2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28680</xdr:colOff>
      <xdr:row>1</xdr:row>
      <xdr:rowOff>95250</xdr:rowOff>
    </xdr:from>
    <xdr:to>
      <xdr:col>9</xdr:col>
      <xdr:colOff>233362</xdr:colOff>
      <xdr:row>2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025" y="280988"/>
          <a:ext cx="1409700" cy="285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28680</xdr:colOff>
      <xdr:row>1</xdr:row>
      <xdr:rowOff>95250</xdr:rowOff>
    </xdr:from>
    <xdr:to>
      <xdr:col>9</xdr:col>
      <xdr:colOff>233362</xdr:colOff>
      <xdr:row>2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025" y="280988"/>
          <a:ext cx="1409700" cy="285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K48"/>
  <sheetViews>
    <sheetView showGridLines="0" zoomScale="85" zoomScaleNormal="85" view="normal" workbookViewId="0">
      <selection pane="topLeft" activeCell="F11" sqref="F11"/>
    </sheetView>
  </sheetViews>
  <sheetFormatPr defaultRowHeight="15" baseColWidth="0"/>
  <cols>
    <col min="2" max="2" width="15.1796875" customWidth="1"/>
    <col min="3" max="3" width="24.99609375" customWidth="1"/>
    <col min="4" max="4" width="22.26953125" customWidth="1"/>
    <col min="5" max="5" width="17.54296875" customWidth="1"/>
    <col min="6" max="6" width="23.453125" customWidth="1"/>
    <col min="7" max="7" width="18.26953125" customWidth="1"/>
    <col min="8" max="8" width="20.99609375" customWidth="1"/>
    <col min="9" max="9" width="16.81640625" customWidth="1"/>
    <col min="10" max="10" width="8.72265625" customWidth="1"/>
    <col min="11" max="11" width="4.26953125" customWidth="1"/>
  </cols>
  <sheetData>
    <row r="1" spans="3:11" ht="15.75" thickBot="1">
      <c r="C1"/>
      <c r="D1"/>
      <c r="E1"/>
      <c r="F1"/>
      <c r="G1"/>
      <c r="H1"/>
      <c r="I1"/>
      <c r="J1"/>
      <c r="K1"/>
    </row>
    <row r="2" spans="2:11" ht="30">
      <c r="B2" s="26"/>
      <c r="C2" s="22" t="s">
        <v>0</v>
      </c>
      <c r="D2" s="6"/>
      <c r="E2" s="6"/>
      <c r="F2" s="6"/>
      <c r="G2" s="6"/>
      <c r="H2" s="6"/>
      <c r="I2" s="6"/>
      <c r="J2" s="6"/>
      <c r="K2" s="7"/>
    </row>
    <row r="3" spans="2:11">
      <c r="B3" s="7"/>
      <c r="C3"/>
      <c r="D3"/>
      <c r="E3"/>
      <c r="F3"/>
      <c r="G3"/>
      <c r="H3"/>
      <c r="I3" t="s">
        <v>3</v>
      </c>
      <c r="J3"/>
      <c r="K3" s="7"/>
    </row>
    <row r="4" spans="2:11">
      <c r="B4" s="7"/>
      <c r="C4" s="23" t="s">
        <v>1</v>
      </c>
      <c r="D4" s="35" t="s">
        <v>26</v>
      </c>
      <c r="E4" s="5"/>
      <c r="F4"/>
      <c r="H4"/>
      <c r="I4" t="s">
        <v>4</v>
      </c>
      <c r="J4"/>
      <c r="K4" s="7"/>
    </row>
    <row r="5" spans="2:11">
      <c r="B5" s="7"/>
      <c r="C5" s="23" t="s">
        <v>2</v>
      </c>
      <c r="D5" s="36" t="s">
        <v>27</v>
      </c>
      <c r="E5" s="2"/>
      <c r="F5"/>
      <c r="H5"/>
      <c r="I5" t="s">
        <v>5</v>
      </c>
      <c r="J5"/>
      <c r="K5" s="7"/>
    </row>
    <row r="6" spans="2:11">
      <c r="B6" s="7"/>
      <c r="C6" s="23" t="s">
        <v>16</v>
      </c>
      <c r="D6" s="36" t="s">
        <v>28</v>
      </c>
      <c r="E6" s="2"/>
      <c r="F6"/>
      <c r="H6"/>
      <c r="I6" t="s">
        <v>6</v>
      </c>
      <c r="J6"/>
      <c r="K6" s="7"/>
    </row>
    <row r="7" spans="2:11">
      <c r="B7" s="7"/>
      <c r="C7"/>
      <c r="D7"/>
      <c r="E7"/>
      <c r="F7"/>
      <c r="G7"/>
      <c r="H7"/>
      <c r="I7"/>
      <c r="J7"/>
      <c r="K7" s="7"/>
    </row>
    <row r="8" spans="2:11">
      <c r="B8" s="7"/>
      <c r="C8"/>
      <c r="D8"/>
      <c r="E8"/>
      <c r="F8"/>
      <c r="G8"/>
      <c r="H8"/>
      <c r="I8"/>
      <c r="J8"/>
      <c r="K8" s="7"/>
    </row>
    <row r="9" spans="2:11">
      <c r="B9" s="7"/>
      <c r="C9"/>
      <c r="D9"/>
      <c r="E9"/>
      <c r="F9"/>
      <c r="G9"/>
      <c r="H9"/>
      <c r="I9"/>
      <c r="J9"/>
      <c r="K9" s="7"/>
    </row>
    <row r="10" spans="2:11">
      <c r="B10" s="7"/>
      <c r="C10"/>
      <c r="D10"/>
      <c r="E10"/>
      <c r="F10"/>
      <c r="G10"/>
      <c r="H10"/>
      <c r="I10"/>
      <c r="J10"/>
      <c r="K10" s="7"/>
    </row>
    <row r="11" spans="2:11">
      <c r="B11" s="29" t="s">
        <v>17</v>
      </c>
      <c r="C11" s="30" t="s">
        <v>18</v>
      </c>
      <c r="D11" s="31" t="s">
        <v>19</v>
      </c>
      <c r="E11" s="32" t="s">
        <v>20</v>
      </c>
      <c r="F11" s="32" t="s">
        <v>25</v>
      </c>
      <c r="G11" s="32" t="s">
        <v>21</v>
      </c>
      <c r="H11" s="32" t="s">
        <v>22</v>
      </c>
      <c r="I11" s="32" t="s">
        <v>23</v>
      </c>
      <c r="J11" s="33" t="s">
        <v>24</v>
      </c>
      <c r="K11" s="7"/>
    </row>
    <row r="12" spans="2:11" hidden="1">
      <c r="B12" s="8" t="s">
        <v>29</v>
      </c>
      <c r="C12" s="24" t="s">
        <v>18</v>
      </c>
      <c r="D12" s="3" t="s">
        <v>19</v>
      </c>
      <c r="E12" s="11" t="s">
        <v>12</v>
      </c>
      <c r="F12" s="11" t="s">
        <v>13</v>
      </c>
      <c r="G12" s="11" t="s">
        <v>9</v>
      </c>
      <c r="H12" s="11" t="s">
        <v>10</v>
      </c>
      <c r="I12" s="11" t="s">
        <v>11</v>
      </c>
      <c r="J12" s="12" t="s">
        <v>24</v>
      </c>
      <c r="K12" s="7"/>
    </row>
    <row r="13" spans="2:11">
      <c r="B13" s="27" t="s">
        <v>30</v>
      </c>
      <c r="C13" s="25" t="s">
        <v>8</v>
      </c>
      <c r="D13" s="20" t="s">
        <v>7</v>
      </c>
      <c r="E13" s="21"/>
      <c r="F13" s="21"/>
      <c r="G13" s="21" t="s">
        <v>112</v>
      </c>
      <c r="H13" s="21" t="s">
        <v>114</v>
      </c>
      <c r="I13" s="15"/>
      <c r="J13" s="13">
        <v>3</v>
      </c>
      <c r="K13" s="7"/>
    </row>
    <row r="14" spans="2:11">
      <c r="B14" s="27" t="s">
        <v>31</v>
      </c>
      <c r="C14" s="25" t="s">
        <v>58</v>
      </c>
      <c r="D14" s="20" t="s">
        <v>85</v>
      </c>
      <c r="E14" s="21"/>
      <c r="F14" s="21"/>
      <c r="G14" s="21" t="s">
        <v>112</v>
      </c>
      <c r="H14" s="21" t="s">
        <v>115</v>
      </c>
      <c r="I14" s="15"/>
      <c r="J14" s="13">
        <v>5</v>
      </c>
      <c r="K14" s="7"/>
    </row>
    <row r="15" spans="2:11">
      <c r="B15" s="27" t="s">
        <v>32</v>
      </c>
      <c r="C15" s="25" t="s">
        <v>59</v>
      </c>
      <c r="D15" s="20" t="s">
        <v>86</v>
      </c>
      <c r="E15" s="21"/>
      <c r="F15" s="21"/>
      <c r="G15" s="21" t="s">
        <v>112</v>
      </c>
      <c r="H15" s="21" t="s">
        <v>116</v>
      </c>
      <c r="I15" s="15"/>
      <c r="J15" s="13">
        <v>10</v>
      </c>
      <c r="K15" s="7"/>
    </row>
    <row r="16" spans="2:11">
      <c r="B16" s="27" t="s">
        <v>33</v>
      </c>
      <c r="C16" s="25" t="s">
        <v>60</v>
      </c>
      <c r="D16" s="20" t="s">
        <v>87</v>
      </c>
      <c r="E16" s="21"/>
      <c r="F16" s="21"/>
      <c r="G16" s="21" t="s">
        <v>112</v>
      </c>
      <c r="H16" s="21" t="s">
        <v>117</v>
      </c>
      <c r="I16" s="15"/>
      <c r="J16" s="13">
        <v>1</v>
      </c>
      <c r="K16" s="7"/>
    </row>
    <row r="17" spans="2:11">
      <c r="B17" s="27" t="s">
        <v>34</v>
      </c>
      <c r="C17" s="25" t="s">
        <v>61</v>
      </c>
      <c r="D17" s="20" t="s">
        <v>88</v>
      </c>
      <c r="E17" s="21"/>
      <c r="F17" s="21"/>
      <c r="G17" s="21" t="s">
        <v>112</v>
      </c>
      <c r="H17" s="21" t="s">
        <v>118</v>
      </c>
      <c r="I17" s="15"/>
      <c r="J17" s="13">
        <v>1</v>
      </c>
      <c r="K17" s="7"/>
    </row>
    <row r="18" spans="2:11">
      <c r="B18" s="27" t="s">
        <v>35</v>
      </c>
      <c r="C18" s="25" t="s">
        <v>62</v>
      </c>
      <c r="D18" s="20" t="s">
        <v>89</v>
      </c>
      <c r="E18" s="21"/>
      <c r="F18" s="21"/>
      <c r="G18" s="21" t="s">
        <v>112</v>
      </c>
      <c r="H18" s="21" t="s">
        <v>119</v>
      </c>
      <c r="I18" s="15"/>
      <c r="J18" s="13">
        <v>2</v>
      </c>
      <c r="K18" s="7"/>
    </row>
    <row r="19" spans="2:11">
      <c r="B19" s="27" t="s">
        <v>36</v>
      </c>
      <c r="C19" s="25" t="s">
        <v>63</v>
      </c>
      <c r="D19" s="20" t="s">
        <v>90</v>
      </c>
      <c r="E19" s="21"/>
      <c r="F19" s="21"/>
      <c r="G19" s="21" t="s">
        <v>112</v>
      </c>
      <c r="H19" s="21" t="s">
        <v>120</v>
      </c>
      <c r="I19" s="15"/>
      <c r="J19" s="13">
        <v>4</v>
      </c>
      <c r="K19" s="7"/>
    </row>
    <row r="20" spans="2:11">
      <c r="B20" s="27" t="s">
        <v>37</v>
      </c>
      <c r="C20" s="25" t="s">
        <v>64</v>
      </c>
      <c r="D20" s="20" t="s">
        <v>91</v>
      </c>
      <c r="E20" s="21"/>
      <c r="F20" s="21"/>
      <c r="G20" s="21" t="s">
        <v>112</v>
      </c>
      <c r="H20" s="21" t="s">
        <v>121</v>
      </c>
      <c r="I20" s="15"/>
      <c r="J20" s="13">
        <v>1</v>
      </c>
      <c r="K20" s="7"/>
    </row>
    <row r="21" spans="2:11">
      <c r="B21" s="27" t="s">
        <v>38</v>
      </c>
      <c r="C21" s="25" t="s">
        <v>65</v>
      </c>
      <c r="D21" s="20" t="s">
        <v>92</v>
      </c>
      <c r="E21" s="21"/>
      <c r="F21" s="21"/>
      <c r="G21" s="21" t="s">
        <v>112</v>
      </c>
      <c r="H21" s="21" t="s">
        <v>122</v>
      </c>
      <c r="I21" s="15"/>
      <c r="J21" s="13">
        <v>1</v>
      </c>
      <c r="K21" s="7"/>
    </row>
    <row r="22" spans="2:11">
      <c r="B22" s="27" t="s">
        <v>39</v>
      </c>
      <c r="C22" s="25" t="s">
        <v>66</v>
      </c>
      <c r="D22" s="20" t="s">
        <v>93</v>
      </c>
      <c r="E22" s="21"/>
      <c r="F22" s="21"/>
      <c r="G22" s="21" t="s">
        <v>112</v>
      </c>
      <c r="H22" s="21" t="s">
        <v>123</v>
      </c>
      <c r="I22" s="15"/>
      <c r="J22" s="13">
        <v>1</v>
      </c>
      <c r="K22" s="7"/>
    </row>
    <row r="23" spans="2:11">
      <c r="B23" s="27" t="s">
        <v>40</v>
      </c>
      <c r="C23" s="25" t="s">
        <v>67</v>
      </c>
      <c r="D23" s="20" t="s">
        <v>94</v>
      </c>
      <c r="E23" s="21"/>
      <c r="F23" s="21"/>
      <c r="G23" s="21" t="s">
        <v>112</v>
      </c>
      <c r="H23" s="21" t="s">
        <v>124</v>
      </c>
      <c r="I23" s="15"/>
      <c r="J23" s="13">
        <v>1</v>
      </c>
      <c r="K23" s="7"/>
    </row>
    <row r="24" spans="2:11">
      <c r="B24" s="27" t="s">
        <v>41</v>
      </c>
      <c r="C24" s="25" t="s">
        <v>68</v>
      </c>
      <c r="D24" s="20" t="s">
        <v>95</v>
      </c>
      <c r="E24" s="21"/>
      <c r="F24" s="21"/>
      <c r="G24" s="21" t="s">
        <v>112</v>
      </c>
      <c r="H24" s="21" t="s">
        <v>125</v>
      </c>
      <c r="I24" s="15"/>
      <c r="J24" s="13">
        <v>1</v>
      </c>
      <c r="K24" s="7"/>
    </row>
    <row r="25" spans="2:11">
      <c r="B25" s="27" t="s">
        <v>42</v>
      </c>
      <c r="C25" s="25" t="s">
        <v>69</v>
      </c>
      <c r="D25" s="20" t="s">
        <v>96</v>
      </c>
      <c r="E25" s="21"/>
      <c r="F25" s="21"/>
      <c r="G25" s="21" t="s">
        <v>113</v>
      </c>
      <c r="H25" s="21" t="s">
        <v>42</v>
      </c>
      <c r="I25" s="15"/>
      <c r="J25" s="13">
        <v>1</v>
      </c>
      <c r="K25" s="7"/>
    </row>
    <row r="26" spans="2:11">
      <c r="B26" s="27" t="s">
        <v>43</v>
      </c>
      <c r="C26" s="25" t="s">
        <v>70</v>
      </c>
      <c r="D26" s="20" t="s">
        <v>97</v>
      </c>
      <c r="E26" s="21"/>
      <c r="F26" s="21"/>
      <c r="G26" s="21" t="s">
        <v>112</v>
      </c>
      <c r="H26" s="21" t="s">
        <v>126</v>
      </c>
      <c r="I26" s="15"/>
      <c r="J26" s="13">
        <v>3</v>
      </c>
      <c r="K26" s="7"/>
    </row>
    <row r="27" spans="2:11">
      <c r="B27" s="27" t="s">
        <v>44</v>
      </c>
      <c r="C27" s="25" t="s">
        <v>71</v>
      </c>
      <c r="D27" s="20" t="s">
        <v>98</v>
      </c>
      <c r="E27" s="21"/>
      <c r="F27" s="21"/>
      <c r="G27" s="21" t="s">
        <v>112</v>
      </c>
      <c r="H27" s="21" t="s">
        <v>127</v>
      </c>
      <c r="I27" s="15"/>
      <c r="J27" s="13">
        <v>1</v>
      </c>
      <c r="K27" s="7"/>
    </row>
    <row r="28" spans="2:11">
      <c r="B28" s="27" t="s">
        <v>45</v>
      </c>
      <c r="C28" s="25" t="s">
        <v>72</v>
      </c>
      <c r="D28" s="20" t="s">
        <v>99</v>
      </c>
      <c r="E28" s="21"/>
      <c r="F28" s="21"/>
      <c r="G28" s="21" t="s">
        <v>112</v>
      </c>
      <c r="H28" s="21" t="s">
        <v>128</v>
      </c>
      <c r="I28" s="15"/>
      <c r="J28" s="13">
        <v>5</v>
      </c>
      <c r="K28" s="7"/>
    </row>
    <row r="29" spans="2:11">
      <c r="B29" s="27" t="s">
        <v>46</v>
      </c>
      <c r="C29" s="25" t="s">
        <v>73</v>
      </c>
      <c r="D29" s="20" t="s">
        <v>100</v>
      </c>
      <c r="E29" s="21"/>
      <c r="F29" s="21"/>
      <c r="G29" s="21" t="s">
        <v>112</v>
      </c>
      <c r="H29" s="21" t="s">
        <v>129</v>
      </c>
      <c r="I29" s="15"/>
      <c r="J29" s="13">
        <v>2</v>
      </c>
      <c r="K29" s="7"/>
    </row>
    <row r="30" spans="2:11">
      <c r="B30" s="27" t="s">
        <v>47</v>
      </c>
      <c r="C30" s="25" t="s">
        <v>74</v>
      </c>
      <c r="D30" s="20" t="s">
        <v>101</v>
      </c>
      <c r="E30" s="21"/>
      <c r="F30" s="21"/>
      <c r="G30" s="21" t="s">
        <v>112</v>
      </c>
      <c r="H30" s="21" t="s">
        <v>130</v>
      </c>
      <c r="I30" s="15"/>
      <c r="J30" s="13">
        <v>2</v>
      </c>
      <c r="K30" s="7"/>
    </row>
    <row r="31" spans="2:11">
      <c r="B31" s="27" t="s">
        <v>48</v>
      </c>
      <c r="C31" s="25" t="s">
        <v>75</v>
      </c>
      <c r="D31" s="20" t="s">
        <v>102</v>
      </c>
      <c r="E31" s="21"/>
      <c r="F31" s="21"/>
      <c r="G31" s="21" t="s">
        <v>112</v>
      </c>
      <c r="H31" s="21" t="s">
        <v>131</v>
      </c>
      <c r="I31" s="15"/>
      <c r="J31" s="13">
        <v>2</v>
      </c>
      <c r="K31" s="7"/>
    </row>
    <row r="32" spans="2:11">
      <c r="B32" s="27" t="s">
        <v>49</v>
      </c>
      <c r="C32" s="25" t="s">
        <v>76</v>
      </c>
      <c r="D32" s="20" t="s">
        <v>103</v>
      </c>
      <c r="E32" s="21"/>
      <c r="F32" s="21"/>
      <c r="G32" s="21" t="s">
        <v>112</v>
      </c>
      <c r="H32" s="21" t="s">
        <v>132</v>
      </c>
      <c r="I32" s="15"/>
      <c r="J32" s="13">
        <v>2</v>
      </c>
      <c r="K32" s="7"/>
    </row>
    <row r="33" spans="2:11">
      <c r="B33" s="27" t="s">
        <v>50</v>
      </c>
      <c r="C33" s="25" t="s">
        <v>77</v>
      </c>
      <c r="D33" s="20" t="s">
        <v>104</v>
      </c>
      <c r="E33" s="21"/>
      <c r="F33" s="21"/>
      <c r="G33" s="21" t="s">
        <v>112</v>
      </c>
      <c r="H33" s="21" t="s">
        <v>133</v>
      </c>
      <c r="I33" s="15"/>
      <c r="J33" s="13">
        <v>1</v>
      </c>
      <c r="K33" s="7"/>
    </row>
    <row r="34" spans="2:11">
      <c r="B34" s="27" t="s">
        <v>51</v>
      </c>
      <c r="C34" s="25" t="s">
        <v>78</v>
      </c>
      <c r="D34" s="20" t="s">
        <v>105</v>
      </c>
      <c r="E34" s="21"/>
      <c r="F34" s="21"/>
      <c r="G34" s="21" t="s">
        <v>112</v>
      </c>
      <c r="H34" s="21" t="s">
        <v>134</v>
      </c>
      <c r="I34" s="15"/>
      <c r="J34" s="13">
        <v>1</v>
      </c>
      <c r="K34" s="7"/>
    </row>
    <row r="35" spans="2:11">
      <c r="B35" s="27" t="s">
        <v>52</v>
      </c>
      <c r="C35" s="25" t="s">
        <v>79</v>
      </c>
      <c r="D35" s="20" t="s">
        <v>106</v>
      </c>
      <c r="E35" s="21"/>
      <c r="F35" s="21"/>
      <c r="G35" s="21" t="s">
        <v>112</v>
      </c>
      <c r="H35" s="21" t="s">
        <v>135</v>
      </c>
      <c r="I35" s="15"/>
      <c r="J35" s="13">
        <v>1</v>
      </c>
      <c r="K35" s="7"/>
    </row>
    <row r="36" spans="2:11">
      <c r="B36" s="27" t="s">
        <v>53</v>
      </c>
      <c r="C36" s="25" t="s">
        <v>80</v>
      </c>
      <c r="D36" s="20" t="s">
        <v>107</v>
      </c>
      <c r="E36" s="21"/>
      <c r="F36" s="21"/>
      <c r="G36" s="21" t="s">
        <v>112</v>
      </c>
      <c r="H36" s="21" t="s">
        <v>136</v>
      </c>
      <c r="I36" s="15"/>
      <c r="J36" s="13">
        <v>1</v>
      </c>
      <c r="K36" s="7"/>
    </row>
    <row r="37" spans="2:11">
      <c r="B37" s="27" t="s">
        <v>54</v>
      </c>
      <c r="C37" s="25" t="s">
        <v>81</v>
      </c>
      <c r="D37" s="20" t="s">
        <v>108</v>
      </c>
      <c r="E37" s="21"/>
      <c r="F37" s="21"/>
      <c r="G37" s="21" t="s">
        <v>112</v>
      </c>
      <c r="H37" s="21" t="s">
        <v>137</v>
      </c>
      <c r="I37" s="15"/>
      <c r="J37" s="13">
        <v>1</v>
      </c>
      <c r="K37" s="7"/>
    </row>
    <row r="38" spans="2:11">
      <c r="B38" s="27" t="s">
        <v>55</v>
      </c>
      <c r="C38" s="25" t="s">
        <v>82</v>
      </c>
      <c r="D38" s="20" t="s">
        <v>109</v>
      </c>
      <c r="E38" s="21"/>
      <c r="F38" s="21"/>
      <c r="G38" s="21" t="s">
        <v>112</v>
      </c>
      <c r="H38" s="21" t="s">
        <v>138</v>
      </c>
      <c r="I38" s="15"/>
      <c r="J38" s="13">
        <v>1</v>
      </c>
      <c r="K38" s="7"/>
    </row>
    <row r="39" spans="2:11">
      <c r="B39" s="27" t="s">
        <v>56</v>
      </c>
      <c r="C39" s="25" t="s">
        <v>83</v>
      </c>
      <c r="D39" s="20" t="s">
        <v>110</v>
      </c>
      <c r="E39" s="21"/>
      <c r="F39" s="21"/>
      <c r="G39" s="21" t="s">
        <v>112</v>
      </c>
      <c r="H39" s="21" t="s">
        <v>139</v>
      </c>
      <c r="I39" s="15"/>
      <c r="J39" s="13">
        <v>1</v>
      </c>
      <c r="K39" s="7"/>
    </row>
    <row r="40" spans="2:11">
      <c r="B40" s="27" t="s">
        <v>57</v>
      </c>
      <c r="C40" s="25" t="s">
        <v>84</v>
      </c>
      <c r="D40" s="20" t="s">
        <v>111</v>
      </c>
      <c r="E40" s="21"/>
      <c r="F40" s="21"/>
      <c r="G40" s="21" t="s">
        <v>112</v>
      </c>
      <c r="H40" s="21" t="s">
        <v>140</v>
      </c>
      <c r="I40" s="15"/>
      <c r="J40" s="13">
        <v>1</v>
      </c>
      <c r="K40" s="7"/>
    </row>
    <row r="41" spans="2:11" ht="15.75" thickBot="1">
      <c r="B41" s="28"/>
      <c r="C41" s="10"/>
      <c r="D41" s="10"/>
      <c r="E41" s="14"/>
      <c r="F41" s="14"/>
      <c r="G41" s="14"/>
      <c r="H41" s="14"/>
      <c r="I41" s="16">
        <f>SUM(I13:I40)</f>
        <v>0</v>
      </c>
      <c r="J41" s="14">
        <f>SUM(J13:J40)</f>
        <v>57</v>
      </c>
      <c r="K41" s="7"/>
    </row>
    <row r="42" spans="10:11" ht="15.75" thickBot="1">
      <c r="J42" s="6"/>
      <c r="K42"/>
    </row>
    <row r="43" spans="2:10">
      <c r="B43" s="26" t="s">
        <v>14</v>
      </c>
      <c r="C43" s="17"/>
      <c r="D43" s="6" t="s">
        <v>15</v>
      </c>
      <c r="E43" s="6"/>
      <c r="F43" s="6"/>
      <c r="G43" s="6"/>
      <c r="H43" s="6"/>
      <c r="I43" s="6"/>
      <c r="J43" s="17"/>
    </row>
    <row r="44" spans="2:10">
      <c r="B44" s="7"/>
      <c r="C44" s="18"/>
      <c r="D44"/>
      <c r="E44"/>
      <c r="F44"/>
      <c r="G44"/>
      <c r="H44"/>
      <c r="I44"/>
      <c r="J44" s="18"/>
    </row>
    <row r="45" spans="2:10">
      <c r="B45" s="7"/>
      <c r="C45" s="18"/>
      <c r="D45"/>
      <c r="E45"/>
      <c r="F45"/>
      <c r="G45"/>
      <c r="H45"/>
      <c r="I45"/>
      <c r="J45" s="18"/>
    </row>
    <row r="46" spans="2:10">
      <c r="B46" s="7"/>
      <c r="C46" s="18"/>
      <c r="D46"/>
      <c r="E46"/>
      <c r="F46"/>
      <c r="G46"/>
      <c r="H46"/>
      <c r="I46"/>
      <c r="J46" s="18"/>
    </row>
    <row r="47" spans="2:10">
      <c r="B47" s="7"/>
      <c r="C47" s="18"/>
      <c r="D47"/>
      <c r="E47"/>
      <c r="F47"/>
      <c r="G47"/>
      <c r="H47"/>
      <c r="I47"/>
      <c r="J47" s="18"/>
    </row>
    <row r="48" spans="2:10" ht="15.75" thickBot="1">
      <c r="B48" s="9"/>
      <c r="C48" s="19"/>
      <c r="D48" s="10"/>
      <c r="E48" s="10"/>
      <c r="F48" s="10"/>
      <c r="G48" s="10"/>
      <c r="H48" s="10"/>
      <c r="I48" s="10"/>
      <c r="J48" s="19"/>
    </row>
  </sheetData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5" baseColWidth="0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5" baseColWidth="0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Пользователь Windows</cp:lastModifiedBy>
  <dcterms:created xsi:type="dcterms:W3CDTF">2013-12-31T18:23:59Z</dcterms:created>
  <dcterms:modified xsi:type="dcterms:W3CDTF">2020-03-04T08:53:43Z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